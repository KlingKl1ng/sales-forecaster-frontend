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rtis Report" sheetId="1" r:id="rId1"/>
  </sheets>
  <calcPr calcId="124519" fullCalcOnLoad="1"/>
</workbook>
</file>

<file path=xl/sharedStrings.xml><?xml version="1.0" encoding="utf-8"?>
<sst xmlns="http://schemas.openxmlformats.org/spreadsheetml/2006/main" count="38" uniqueCount="20">
  <si>
    <t>OPERARTIS FORECAST REPORT</t>
  </si>
  <si>
    <t>Optimizing Today, Growing Tomorrow.</t>
  </si>
  <si>
    <t>Report By:</t>
  </si>
  <si>
    <t>Operartis Analytics</t>
  </si>
  <si>
    <t>Report Date:</t>
  </si>
  <si>
    <t>2025-12-03 18:10</t>
  </si>
  <si>
    <t>Report For:</t>
  </si>
  <si>
    <t>BTN -Training</t>
  </si>
  <si>
    <t>Model Used:</t>
  </si>
  <si>
    <t>Prophet (Complex)</t>
  </si>
  <si>
    <t>Legend:</t>
  </si>
  <si>
    <t>Green: Over-forecast (Positive)</t>
  </si>
  <si>
    <t>Red: Under-forecast (Negative)</t>
  </si>
  <si>
    <t>Period</t>
  </si>
  <si>
    <t>Actual History</t>
  </si>
  <si>
    <t>Validation (Test 5 horizon)</t>
  </si>
  <si>
    <t>Accuracy Delta</t>
  </si>
  <si>
    <t>Future Forecast</t>
  </si>
  <si>
    <t>-</t>
  </si>
  <si>
    <t>© 2025 Operartis Analytics. All rights reserved.</t>
  </si>
</sst>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0.0%"/>
  </numFmts>
  <fonts count="9">
    <font>
      <sz val="11"/>
      <color theme="1"/>
      <name val="Calibri"/>
      <family val="2"/>
      <scheme val="minor"/>
    </font>
    <font>
      <b/>
      <sz val="20"/>
      <color rgb="FFB45309"/>
      <name val="Calibri"/>
      <family val="2"/>
      <scheme val="minor"/>
    </font>
    <font>
      <i/>
      <sz val="11"/>
      <color rgb="FFB45309"/>
      <name val="Calibri"/>
      <family val="2"/>
      <scheme val="minor"/>
    </font>
    <font>
      <b/>
      <sz val="9"/>
      <color rgb="FF475569"/>
      <name val="Calibri"/>
      <family val="2"/>
      <scheme val="minor"/>
    </font>
    <font>
      <sz val="9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B45309"/>
      <name val="Calibri"/>
      <family val="2"/>
      <scheme val="minor"/>
    </font>
    <font>
      <i/>
      <sz val="8"/>
      <color rgb="FF94A3B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FFB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0" fillId="0" borderId="1" xfId="0" applyNumberFormat="1" applyBorder="1" applyAlignment="1">
      <alignment horizontal="center"/>
    </xf>
    <xf numFmtId="165" fontId="7" fillId="5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</xdr:row>
      <xdr:rowOff>0</xdr:rowOff>
    </xdr:from>
    <xdr:to>
      <xdr:col>1</xdr:col>
      <xdr:colOff>1288948</xdr:colOff>
      <xdr:row>2</xdr:row>
      <xdr:rowOff>97071</xdr:rowOff>
    </xdr:to>
    <xdr:pic>
      <xdr:nvPicPr>
        <xdr:cNvPr id="2" name="Picture 1" descr="icononly_transparent_nobuff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90500"/>
          <a:ext cx="812698" cy="66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61"/>
  <sheetViews>
    <sheetView tabSelected="1" workbookViewId="0"/>
  </sheetViews>
  <sheetFormatPr defaultRowHeight="15"/>
  <cols>
    <col min="1" max="1" width="2.7109375" customWidth="1"/>
    <col min="2" max="2" width="22.7109375" customWidth="1"/>
    <col min="3" max="3" width="20.7109375" customWidth="1"/>
    <col min="4" max="4" width="25.7109375" customWidth="1"/>
    <col min="5" max="5" width="20.7109375" customWidth="1"/>
    <col min="6" max="6" width="25.7109375" customWidth="1"/>
  </cols>
  <sheetData>
    <row r="2" spans="2:6" ht="45" customHeight="1">
      <c r="C2" s="1" t="s">
        <v>0</v>
      </c>
      <c r="D2" s="1"/>
      <c r="E2" s="1"/>
      <c r="F2" s="1"/>
    </row>
    <row r="3" spans="2:6" ht="25" customHeight="1">
      <c r="C3" s="2" t="s">
        <v>1</v>
      </c>
      <c r="D3" s="2"/>
      <c r="E3" s="2"/>
      <c r="F3" s="2"/>
    </row>
    <row r="5" spans="2:6">
      <c r="B5" s="3" t="s">
        <v>2</v>
      </c>
      <c r="C5" s="4" t="s">
        <v>3</v>
      </c>
      <c r="E5" s="3" t="s">
        <v>10</v>
      </c>
    </row>
    <row r="6" spans="2:6">
      <c r="B6" s="3" t="s">
        <v>4</v>
      </c>
      <c r="C6" s="4" t="s">
        <v>5</v>
      </c>
      <c r="E6" s="4" t="s">
        <v>11</v>
      </c>
    </row>
    <row r="7" spans="2:6">
      <c r="B7" s="3" t="s">
        <v>6</v>
      </c>
      <c r="C7" s="4" t="s">
        <v>7</v>
      </c>
      <c r="E7" s="4" t="s">
        <v>12</v>
      </c>
    </row>
    <row r="8" spans="2:6">
      <c r="B8" s="3" t="s">
        <v>8</v>
      </c>
      <c r="C8" s="4" t="s">
        <v>9</v>
      </c>
    </row>
    <row r="10" spans="2:6"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</row>
    <row r="11" spans="2:6">
      <c r="B11" s="6">
        <v>44927</v>
      </c>
      <c r="C11" s="7">
        <v>2586.100338</v>
      </c>
      <c r="D11" s="8"/>
      <c r="E11" s="9"/>
      <c r="F11" s="10"/>
    </row>
    <row r="12" spans="2:6">
      <c r="B12" s="6">
        <v>44958</v>
      </c>
      <c r="C12" s="7">
        <v>3084.025132</v>
      </c>
      <c r="D12" s="8"/>
      <c r="E12" s="9"/>
      <c r="F12" s="10"/>
    </row>
    <row r="13" spans="2:6">
      <c r="B13" s="6">
        <v>44986</v>
      </c>
      <c r="C13" s="7">
        <v>3518.18383</v>
      </c>
      <c r="D13" s="8"/>
      <c r="E13" s="9"/>
      <c r="F13" s="10"/>
    </row>
    <row r="14" spans="2:6">
      <c r="B14" s="6">
        <v>45017</v>
      </c>
      <c r="C14" s="7">
        <v>3406.966267</v>
      </c>
      <c r="D14" s="8"/>
      <c r="E14" s="9"/>
      <c r="F14" s="10"/>
    </row>
    <row r="15" spans="2:6">
      <c r="B15" s="6">
        <v>45047</v>
      </c>
      <c r="C15" s="7">
        <v>3366.592703</v>
      </c>
      <c r="D15" s="8"/>
      <c r="E15" s="9"/>
      <c r="F15" s="10"/>
    </row>
    <row r="16" spans="2:6">
      <c r="B16" s="6">
        <v>45078</v>
      </c>
      <c r="C16" s="7">
        <v>3304.732043999999</v>
      </c>
      <c r="D16" s="8"/>
      <c r="E16" s="9"/>
      <c r="F16" s="10"/>
    </row>
    <row r="17" spans="2:6">
      <c r="B17" s="6">
        <v>45108</v>
      </c>
      <c r="C17" s="7">
        <v>3687.033234111108</v>
      </c>
      <c r="D17" s="8"/>
      <c r="E17" s="9"/>
      <c r="F17" s="10"/>
    </row>
    <row r="18" spans="2:6">
      <c r="B18" s="6">
        <v>45139</v>
      </c>
      <c r="C18" s="7">
        <v>2952.662629999999</v>
      </c>
      <c r="D18" s="8"/>
      <c r="E18" s="9"/>
      <c r="F18" s="10"/>
    </row>
    <row r="19" spans="2:6">
      <c r="B19" s="6">
        <v>45170</v>
      </c>
      <c r="C19" s="7">
        <v>3204.642067</v>
      </c>
      <c r="D19" s="8"/>
      <c r="E19" s="9"/>
      <c r="F19" s="10"/>
    </row>
    <row r="20" spans="2:6">
      <c r="B20" s="6">
        <v>45200</v>
      </c>
      <c r="C20" s="7">
        <v>3674.744383</v>
      </c>
      <c r="D20" s="8"/>
      <c r="E20" s="9"/>
      <c r="F20" s="10"/>
    </row>
    <row r="21" spans="2:6">
      <c r="B21" s="6">
        <v>45231</v>
      </c>
      <c r="C21" s="7">
        <v>3854.757246</v>
      </c>
      <c r="D21" s="8"/>
      <c r="E21" s="9"/>
      <c r="F21" s="10"/>
    </row>
    <row r="22" spans="2:6">
      <c r="B22" s="6">
        <v>45261</v>
      </c>
      <c r="C22" s="7">
        <v>4612.553817999999</v>
      </c>
      <c r="D22" s="8"/>
      <c r="E22" s="9"/>
      <c r="F22" s="10"/>
    </row>
    <row r="23" spans="2:6">
      <c r="B23" s="6">
        <v>45292</v>
      </c>
      <c r="C23" s="7">
        <v>5592.104232</v>
      </c>
      <c r="D23" s="8"/>
      <c r="E23" s="9"/>
      <c r="F23" s="10"/>
    </row>
    <row r="24" spans="2:6">
      <c r="B24" s="6">
        <v>45323</v>
      </c>
      <c r="C24" s="7">
        <v>2568.138514</v>
      </c>
      <c r="D24" s="8"/>
      <c r="E24" s="9"/>
      <c r="F24" s="10"/>
    </row>
    <row r="25" spans="2:6">
      <c r="B25" s="6">
        <v>45352</v>
      </c>
      <c r="C25" s="7">
        <v>4875.80588</v>
      </c>
      <c r="D25" s="8"/>
      <c r="E25" s="9"/>
      <c r="F25" s="10"/>
    </row>
    <row r="26" spans="2:6">
      <c r="B26" s="6">
        <v>45383</v>
      </c>
      <c r="C26" s="7">
        <v>4711.6296786</v>
      </c>
      <c r="D26" s="8"/>
      <c r="E26" s="9"/>
      <c r="F26" s="10"/>
    </row>
    <row r="27" spans="2:6">
      <c r="B27" s="6">
        <v>45413</v>
      </c>
      <c r="C27" s="7">
        <v>4976.362094000001</v>
      </c>
      <c r="D27" s="8"/>
      <c r="E27" s="9"/>
      <c r="F27" s="10"/>
    </row>
    <row r="28" spans="2:6">
      <c r="B28" s="6">
        <v>45444</v>
      </c>
      <c r="C28" s="7">
        <v>5229.949954999999</v>
      </c>
      <c r="D28" s="8"/>
      <c r="E28" s="9"/>
      <c r="F28" s="10"/>
    </row>
    <row r="29" spans="2:6">
      <c r="B29" s="6">
        <v>45474</v>
      </c>
      <c r="C29" s="7">
        <v>5379.864577</v>
      </c>
      <c r="D29" s="8"/>
      <c r="E29" s="9"/>
      <c r="F29" s="10"/>
    </row>
    <row r="30" spans="2:6">
      <c r="B30" s="6">
        <v>45505</v>
      </c>
      <c r="C30" s="7">
        <v>5787.339577000001</v>
      </c>
      <c r="D30" s="8"/>
      <c r="E30" s="9"/>
      <c r="F30" s="10"/>
    </row>
    <row r="31" spans="2:6">
      <c r="B31" s="6">
        <v>45536</v>
      </c>
      <c r="C31" s="7">
        <v>6063.639499000001</v>
      </c>
      <c r="D31" s="8"/>
      <c r="E31" s="9"/>
      <c r="F31" s="10"/>
    </row>
    <row r="32" spans="2:6">
      <c r="B32" s="6">
        <v>45566</v>
      </c>
      <c r="C32" s="7">
        <v>6217.806600999998</v>
      </c>
      <c r="D32" s="8"/>
      <c r="E32" s="9"/>
      <c r="F32" s="10"/>
    </row>
    <row r="33" spans="2:6">
      <c r="B33" s="6">
        <v>45597</v>
      </c>
      <c r="C33" s="7">
        <v>6355.021422999999</v>
      </c>
      <c r="D33" s="8"/>
      <c r="E33" s="9"/>
      <c r="F33" s="10"/>
    </row>
    <row r="34" spans="2:6">
      <c r="B34" s="6">
        <v>45627</v>
      </c>
      <c r="C34" s="7">
        <v>6836.230942</v>
      </c>
      <c r="D34" s="8"/>
      <c r="E34" s="9"/>
      <c r="F34" s="10"/>
    </row>
    <row r="35" spans="2:6">
      <c r="B35" s="6">
        <v>45658</v>
      </c>
      <c r="C35" s="7">
        <v>5851.827291</v>
      </c>
      <c r="D35" s="8">
        <v>6449.932269780804</v>
      </c>
      <c r="E35" s="9">
        <v>0.1022082418086191</v>
      </c>
      <c r="F35" s="10"/>
    </row>
    <row r="36" spans="2:6">
      <c r="B36" s="6">
        <v>45689</v>
      </c>
      <c r="C36" s="7">
        <v>5809.242776</v>
      </c>
      <c r="D36" s="8">
        <v>6615.673157338091</v>
      </c>
      <c r="E36" s="9">
        <v>0.1388185022443433</v>
      </c>
      <c r="F36" s="10"/>
    </row>
    <row r="37" spans="2:6">
      <c r="B37" s="6">
        <v>45717</v>
      </c>
      <c r="C37" s="7">
        <v>7303.530274</v>
      </c>
      <c r="D37" s="8">
        <v>6765.374604164027</v>
      </c>
      <c r="E37" s="9">
        <v>-0.073684321094932</v>
      </c>
      <c r="F37" s="10"/>
    </row>
    <row r="38" spans="2:6">
      <c r="B38" s="6">
        <v>45748</v>
      </c>
      <c r="C38" s="7">
        <v>6833.678757999999</v>
      </c>
      <c r="D38" s="8">
        <v>6931.115491721313</v>
      </c>
      <c r="E38" s="9">
        <v>0.01425831344607</v>
      </c>
      <c r="F38" s="10"/>
    </row>
    <row r="39" spans="2:6">
      <c r="B39" s="6">
        <v>45778</v>
      </c>
      <c r="C39" s="7">
        <v>6834.94953</v>
      </c>
      <c r="D39" s="8">
        <v>7091.509899034818</v>
      </c>
      <c r="E39" s="9">
        <v>0.03753654184405045</v>
      </c>
      <c r="F39" s="10"/>
    </row>
    <row r="40" spans="2:6">
      <c r="B40" s="6">
        <v>45809</v>
      </c>
      <c r="C40" s="7" t="s">
        <v>18</v>
      </c>
      <c r="D40" s="8"/>
      <c r="E40" s="9"/>
      <c r="F40" s="10">
        <v>7052.856061605262</v>
      </c>
    </row>
    <row r="41" spans="2:6">
      <c r="B41" s="6">
        <v>45839</v>
      </c>
      <c r="C41" s="7" t="s">
        <v>18</v>
      </c>
      <c r="D41" s="8"/>
      <c r="E41" s="9"/>
      <c r="F41" s="10">
        <v>7239.325038887878</v>
      </c>
    </row>
    <row r="42" spans="2:6">
      <c r="B42" s="6">
        <v>45870</v>
      </c>
      <c r="C42" s="7" t="s">
        <v>18</v>
      </c>
      <c r="D42" s="8"/>
      <c r="E42" s="9"/>
      <c r="F42" s="10">
        <v>7233.176140854389</v>
      </c>
    </row>
    <row r="43" spans="2:6">
      <c r="B43" s="6">
        <v>45901</v>
      </c>
      <c r="C43" s="7" t="s">
        <v>18</v>
      </c>
      <c r="D43" s="8"/>
      <c r="E43" s="9"/>
      <c r="F43" s="10">
        <v>7472.138888950836</v>
      </c>
    </row>
    <row r="44" spans="2:6">
      <c r="B44" s="6">
        <v>45931</v>
      </c>
      <c r="C44" s="7" t="s">
        <v>18</v>
      </c>
      <c r="D44" s="8"/>
      <c r="E44" s="9"/>
      <c r="F44" s="10">
        <v>7733.588773857856</v>
      </c>
    </row>
    <row r="45" spans="2:6">
      <c r="B45" s="6">
        <v>45962</v>
      </c>
      <c r="C45" s="7" t="s">
        <v>18</v>
      </c>
      <c r="D45" s="8"/>
      <c r="E45" s="9"/>
      <c r="F45" s="10">
        <v>7910.969711867784</v>
      </c>
    </row>
    <row r="46" spans="2:6">
      <c r="B46" s="6">
        <v>45992</v>
      </c>
      <c r="C46" s="7" t="s">
        <v>18</v>
      </c>
      <c r="D46" s="8"/>
      <c r="E46" s="9"/>
      <c r="F46" s="10">
        <v>8524.055031255102</v>
      </c>
    </row>
    <row r="47" spans="2:6">
      <c r="B47" s="6">
        <v>46023</v>
      </c>
      <c r="C47" s="7" t="s">
        <v>18</v>
      </c>
      <c r="D47" s="8"/>
      <c r="E47" s="9"/>
      <c r="F47" s="10">
        <v>8076.132034853973</v>
      </c>
    </row>
    <row r="48" spans="2:6">
      <c r="B48" s="6">
        <v>46054</v>
      </c>
      <c r="C48" s="7" t="s">
        <v>18</v>
      </c>
      <c r="D48" s="8"/>
      <c r="E48" s="9"/>
      <c r="F48" s="10">
        <v>7828.006906086996</v>
      </c>
    </row>
    <row r="49" spans="2:6">
      <c r="B49" s="6">
        <v>46082</v>
      </c>
      <c r="C49" s="7" t="s">
        <v>18</v>
      </c>
      <c r="D49" s="8"/>
      <c r="E49" s="9"/>
      <c r="F49" s="10">
        <v>8944.127103409053</v>
      </c>
    </row>
    <row r="50" spans="2:6">
      <c r="B50" s="6">
        <v>46113</v>
      </c>
      <c r="C50" s="7" t="s">
        <v>18</v>
      </c>
      <c r="D50" s="8"/>
      <c r="E50" s="9"/>
      <c r="F50" s="10">
        <v>8740.492674740335</v>
      </c>
    </row>
    <row r="51" spans="2:6">
      <c r="B51" s="6">
        <v>46143</v>
      </c>
      <c r="C51" s="7" t="s">
        <v>18</v>
      </c>
      <c r="D51" s="8"/>
      <c r="E51" s="9"/>
      <c r="F51" s="10">
        <v>8797.119893892177</v>
      </c>
    </row>
    <row r="52" spans="2:6">
      <c r="B52" s="6">
        <v>46174</v>
      </c>
      <c r="C52" s="7" t="s">
        <v>18</v>
      </c>
      <c r="D52" s="8"/>
      <c r="E52" s="9"/>
      <c r="F52" s="10">
        <v>8919.074613945859</v>
      </c>
    </row>
    <row r="53" spans="2:6">
      <c r="B53" s="6">
        <v>46204</v>
      </c>
      <c r="C53" s="7" t="s">
        <v>18</v>
      </c>
      <c r="D53" s="8"/>
      <c r="E53" s="9"/>
      <c r="F53" s="10">
        <v>9274.550639360277</v>
      </c>
    </row>
    <row r="54" spans="2:6">
      <c r="B54" s="6">
        <v>46235</v>
      </c>
      <c r="C54" s="7" t="s">
        <v>18</v>
      </c>
      <c r="D54" s="8"/>
      <c r="E54" s="9"/>
      <c r="F54" s="10">
        <v>8957.056677916602</v>
      </c>
    </row>
    <row r="55" spans="2:6">
      <c r="B55" s="6">
        <v>46266</v>
      </c>
      <c r="C55" s="7" t="s">
        <v>18</v>
      </c>
      <c r="D55" s="8"/>
      <c r="E55" s="9"/>
      <c r="F55" s="10">
        <v>9236.640393945519</v>
      </c>
    </row>
    <row r="56" spans="2:6">
      <c r="B56" s="6">
        <v>46296</v>
      </c>
      <c r="C56" s="7" t="s">
        <v>18</v>
      </c>
      <c r="D56" s="8"/>
      <c r="E56" s="9"/>
      <c r="F56" s="10">
        <v>9600.718486933307</v>
      </c>
    </row>
    <row r="57" spans="2:6">
      <c r="B57" s="6">
        <v>46327</v>
      </c>
      <c r="C57" s="7" t="s">
        <v>18</v>
      </c>
      <c r="D57" s="8"/>
      <c r="E57" s="9"/>
      <c r="F57" s="10">
        <v>9741.021022590096</v>
      </c>
    </row>
    <row r="58" spans="2:6">
      <c r="B58" s="6">
        <v>46357</v>
      </c>
      <c r="C58" s="7" t="s">
        <v>18</v>
      </c>
      <c r="D58" s="8"/>
      <c r="E58" s="9"/>
      <c r="F58" s="10">
        <v>10362.11058123992</v>
      </c>
    </row>
    <row r="61" spans="2:6">
      <c r="B61" s="11" t="s">
        <v>19</v>
      </c>
    </row>
  </sheetData>
  <sheetProtection password="9E90" sheet="1" objects="1" scenarios="1"/>
  <mergeCells count="2">
    <mergeCell ref="C2:F2"/>
    <mergeCell ref="C3:F3"/>
  </mergeCells>
  <conditionalFormatting sqref="E11:E58">
    <cfRule type="colorScale" priority="1">
      <colorScale>
        <cfvo type="min" val="0"/>
        <cfvo type="percentile" val="50"/>
        <cfvo type="max" val="0"/>
        <color rgb="FFF87171"/>
        <color rgb="FFFFFFFF"/>
        <color rgb="FF4ADE8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Operartis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2025-12-03T18:10:24Z</dcterms:created>
  <dcterms:modified xsi:type="dcterms:W3CDTF">2025-12-03T18:10:24Z</dcterms:modified>
</cp:coreProperties>
</file>